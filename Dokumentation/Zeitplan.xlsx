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ate1904="1" filterPrivacy="1" defaultThemeVersion="124226"/>
  <xr:revisionPtr revIDLastSave="0" documentId="13_ncr:1_{5DCDD3D0-4FE0-4144-B259-BA1A855E227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Übersicht" sheetId="4" r:id="rId1"/>
  </sheets>
  <definedNames>
    <definedName name="_xlnm.Print_Area" localSheetId="0">Übersicht!$A$1:$AS$29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4" l="1"/>
  <c r="E27" i="4"/>
  <c r="E24" i="4"/>
  <c r="E9" i="4"/>
  <c r="E12" i="4" s="1"/>
  <c r="E7" i="4"/>
  <c r="E5" i="4"/>
  <c r="E3" i="4"/>
  <c r="E15" i="4" l="1"/>
  <c r="E21" i="4"/>
  <c r="E18" i="4"/>
  <c r="H2" i="4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BC2" i="4" s="1"/>
  <c r="BD2" i="4" s="1"/>
  <c r="BE2" i="4" s="1"/>
  <c r="BF2" i="4" s="1"/>
  <c r="BG2" i="4" s="1"/>
  <c r="BH2" i="4" s="1"/>
  <c r="BI2" i="4" s="1"/>
  <c r="BJ2" i="4" s="1"/>
  <c r="BK2" i="4" s="1"/>
  <c r="BL2" i="4" s="1"/>
  <c r="BM2" i="4" s="1"/>
  <c r="BN2" i="4" s="1"/>
  <c r="BO2" i="4" s="1"/>
  <c r="BP2" i="4" s="1"/>
  <c r="BQ2" i="4" s="1"/>
  <c r="BR2" i="4" s="1"/>
  <c r="BS2" i="4" s="1"/>
  <c r="BT2" i="4" l="1"/>
  <c r="BU2" i="4" s="1"/>
  <c r="BV2" i="4" s="1"/>
  <c r="BW2" i="4" s="1"/>
  <c r="BX2" i="4" s="1"/>
  <c r="BY2" i="4" s="1"/>
  <c r="BZ2" i="4" s="1"/>
  <c r="CA2" i="4" s="1"/>
  <c r="CB2" i="4" s="1"/>
  <c r="CC2" i="4" s="1"/>
  <c r="CD2" i="4" s="1"/>
  <c r="CE2" i="4" s="1"/>
  <c r="CF2" i="4" s="1"/>
  <c r="CG2" i="4" s="1"/>
</calcChain>
</file>

<file path=xl/sharedStrings.xml><?xml version="1.0" encoding="utf-8"?>
<sst xmlns="http://schemas.openxmlformats.org/spreadsheetml/2006/main" count="39" uniqueCount="15">
  <si>
    <t>Nr</t>
  </si>
  <si>
    <t>Auftrag</t>
  </si>
  <si>
    <t>Teilauftrag</t>
  </si>
  <si>
    <t>Zuständig</t>
  </si>
  <si>
    <t>Datum bis</t>
  </si>
  <si>
    <t>soll</t>
  </si>
  <si>
    <t>ist</t>
  </si>
  <si>
    <t>Planung erstellen</t>
  </si>
  <si>
    <t>Entscheid Technologie</t>
  </si>
  <si>
    <t>Umsetzung</t>
  </si>
  <si>
    <t>soll neu</t>
  </si>
  <si>
    <t xml:space="preserve">Test </t>
  </si>
  <si>
    <t>Auswertung mit Kunde</t>
  </si>
  <si>
    <t>Info &amp; Anforderungen</t>
  </si>
  <si>
    <t>Zeitübersicht Arbeitsauftrag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</si>
</sst>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b/>
      <sz val="1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1" applyFont="1"/>
    <xf numFmtId="14" fontId="2" fillId="0" borderId="2" xfId="0" applyNumberFormat="1" applyFont="1" applyBorder="1" applyAlignment="1">
      <alignment horizontal="center" vertical="center" textRotation="90"/>
    </xf>
    <xf numFmtId="14" fontId="2" fillId="0" borderId="1" xfId="0" applyNumberFormat="1" applyFont="1" applyBorder="1" applyAlignment="1">
      <alignment horizontal="center" vertical="center" textRotation="90"/>
    </xf>
  </cellXfs>
  <cellStyles count="2">
    <cellStyle name="Standard" xfId="0" builtinId="0"/>
    <cellStyle name="Überschrift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G29"/>
  <sheetViews>
    <sheetView tabSelected="1" zoomScale="55" zoomScaleNormal="55" workbookViewId="0">
      <selection activeCell="C34" sqref="C34"/>
    </sheetView>
  </sheetViews>
  <sheetFormatPr baseColWidth="10" defaultColWidth="11.3984375" defaultRowHeight="14.25" x14ac:dyDescent="0.45"/>
  <cols>
    <col min="1" max="1" width="4.1328125" customWidth="1"/>
    <col min="2" max="2" width="22.3984375" customWidth="1"/>
    <col min="3" max="3" width="19.265625" customWidth="1"/>
    <col min="4" max="4" width="13" customWidth="1"/>
    <col min="5" max="5" width="15.1328125" customWidth="1"/>
    <col min="6" max="6" width="10.73046875" customWidth="1"/>
    <col min="7" max="85" width="4" customWidth="1"/>
  </cols>
  <sheetData>
    <row r="1" spans="1:85" ht="23.25" x14ac:dyDescent="0.7">
      <c r="A1" s="13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68.25" customHeight="1" thickBot="1" x14ac:dyDescent="0.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4"/>
      <c r="G2" s="14">
        <f>DATE(2025,11,19)</f>
        <v>44518</v>
      </c>
      <c r="H2" s="14">
        <f>G2+1</f>
        <v>44519</v>
      </c>
      <c r="I2" s="14">
        <f t="shared" ref="I2:BC2" si="0">H2+1</f>
        <v>44520</v>
      </c>
      <c r="J2" s="14">
        <f t="shared" si="0"/>
        <v>44521</v>
      </c>
      <c r="K2" s="14">
        <f t="shared" si="0"/>
        <v>44522</v>
      </c>
      <c r="L2" s="14">
        <f t="shared" si="0"/>
        <v>44523</v>
      </c>
      <c r="M2" s="14">
        <f t="shared" si="0"/>
        <v>44524</v>
      </c>
      <c r="N2" s="14">
        <f t="shared" si="0"/>
        <v>44525</v>
      </c>
      <c r="O2" s="14">
        <f t="shared" si="0"/>
        <v>44526</v>
      </c>
      <c r="P2" s="14">
        <f t="shared" si="0"/>
        <v>44527</v>
      </c>
      <c r="Q2" s="14">
        <f t="shared" si="0"/>
        <v>44528</v>
      </c>
      <c r="R2" s="14">
        <f t="shared" si="0"/>
        <v>44529</v>
      </c>
      <c r="S2" s="14">
        <f t="shared" si="0"/>
        <v>44530</v>
      </c>
      <c r="T2" s="14">
        <f t="shared" si="0"/>
        <v>44531</v>
      </c>
      <c r="U2" s="14">
        <f t="shared" si="0"/>
        <v>44532</v>
      </c>
      <c r="V2" s="14">
        <f t="shared" si="0"/>
        <v>44533</v>
      </c>
      <c r="W2" s="14">
        <f t="shared" si="0"/>
        <v>44534</v>
      </c>
      <c r="X2" s="14">
        <f t="shared" si="0"/>
        <v>44535</v>
      </c>
      <c r="Y2" s="14">
        <f t="shared" si="0"/>
        <v>44536</v>
      </c>
      <c r="Z2" s="14">
        <f t="shared" si="0"/>
        <v>44537</v>
      </c>
      <c r="AA2" s="14">
        <f t="shared" si="0"/>
        <v>44538</v>
      </c>
      <c r="AB2" s="14">
        <f t="shared" si="0"/>
        <v>44539</v>
      </c>
      <c r="AC2" s="14">
        <f t="shared" si="0"/>
        <v>44540</v>
      </c>
      <c r="AD2" s="14">
        <f t="shared" si="0"/>
        <v>44541</v>
      </c>
      <c r="AE2" s="14">
        <f t="shared" si="0"/>
        <v>44542</v>
      </c>
      <c r="AF2" s="14">
        <f t="shared" si="0"/>
        <v>44543</v>
      </c>
      <c r="AG2" s="14">
        <f t="shared" si="0"/>
        <v>44544</v>
      </c>
      <c r="AH2" s="14">
        <f t="shared" si="0"/>
        <v>44545</v>
      </c>
      <c r="AI2" s="14">
        <f t="shared" si="0"/>
        <v>44546</v>
      </c>
      <c r="AJ2" s="14">
        <f t="shared" si="0"/>
        <v>44547</v>
      </c>
      <c r="AK2" s="14">
        <f t="shared" si="0"/>
        <v>44548</v>
      </c>
      <c r="AL2" s="14">
        <f t="shared" si="0"/>
        <v>44549</v>
      </c>
      <c r="AM2" s="14">
        <f t="shared" si="0"/>
        <v>44550</v>
      </c>
      <c r="AN2" s="14">
        <f t="shared" si="0"/>
        <v>44551</v>
      </c>
      <c r="AO2" s="14">
        <f t="shared" si="0"/>
        <v>44552</v>
      </c>
      <c r="AP2" s="14">
        <f t="shared" si="0"/>
        <v>44553</v>
      </c>
      <c r="AQ2" s="14">
        <f t="shared" si="0"/>
        <v>44554</v>
      </c>
      <c r="AR2" s="14">
        <f t="shared" si="0"/>
        <v>44555</v>
      </c>
      <c r="AS2" s="14">
        <f t="shared" si="0"/>
        <v>44556</v>
      </c>
      <c r="AT2" s="14">
        <f t="shared" si="0"/>
        <v>44557</v>
      </c>
      <c r="AU2" s="14">
        <f t="shared" si="0"/>
        <v>44558</v>
      </c>
      <c r="AV2" s="14">
        <f t="shared" si="0"/>
        <v>44559</v>
      </c>
      <c r="AW2" s="14">
        <f t="shared" si="0"/>
        <v>44560</v>
      </c>
      <c r="AX2" s="15">
        <f t="shared" si="0"/>
        <v>44561</v>
      </c>
      <c r="AY2" s="15">
        <f t="shared" si="0"/>
        <v>44562</v>
      </c>
      <c r="AZ2" s="15">
        <f t="shared" si="0"/>
        <v>44563</v>
      </c>
      <c r="BA2" s="15">
        <f t="shared" si="0"/>
        <v>44564</v>
      </c>
      <c r="BB2" s="15">
        <f t="shared" si="0"/>
        <v>44565</v>
      </c>
      <c r="BC2" s="15">
        <f t="shared" si="0"/>
        <v>44566</v>
      </c>
      <c r="BD2" s="15">
        <f t="shared" ref="BD2:BJ2" si="1">BC2+1</f>
        <v>44567</v>
      </c>
      <c r="BE2" s="15">
        <f t="shared" si="1"/>
        <v>44568</v>
      </c>
      <c r="BF2" s="15">
        <f t="shared" si="1"/>
        <v>44569</v>
      </c>
      <c r="BG2" s="15">
        <f t="shared" si="1"/>
        <v>44570</v>
      </c>
      <c r="BH2" s="15">
        <f t="shared" si="1"/>
        <v>44571</v>
      </c>
      <c r="BI2" s="15">
        <f t="shared" si="1"/>
        <v>44572</v>
      </c>
      <c r="BJ2" s="15">
        <f t="shared" si="1"/>
        <v>44573</v>
      </c>
      <c r="BK2" s="15">
        <f t="shared" ref="BK2:CG2" si="2">BJ2+1</f>
        <v>44574</v>
      </c>
      <c r="BL2" s="15">
        <f t="shared" si="2"/>
        <v>44575</v>
      </c>
      <c r="BM2" s="15">
        <f t="shared" si="2"/>
        <v>44576</v>
      </c>
      <c r="BN2" s="15">
        <f t="shared" si="2"/>
        <v>44577</v>
      </c>
      <c r="BO2" s="15">
        <f t="shared" si="2"/>
        <v>44578</v>
      </c>
      <c r="BP2" s="15">
        <f t="shared" si="2"/>
        <v>44579</v>
      </c>
      <c r="BQ2" s="15">
        <f t="shared" si="2"/>
        <v>44580</v>
      </c>
      <c r="BR2" s="15">
        <f t="shared" si="2"/>
        <v>44581</v>
      </c>
      <c r="BS2" s="15">
        <f t="shared" si="2"/>
        <v>44582</v>
      </c>
      <c r="BT2" s="15">
        <f t="shared" si="2"/>
        <v>44583</v>
      </c>
      <c r="BU2" s="15">
        <f t="shared" si="2"/>
        <v>44584</v>
      </c>
      <c r="BV2" s="15">
        <f t="shared" si="2"/>
        <v>44585</v>
      </c>
      <c r="BW2" s="15">
        <f t="shared" si="2"/>
        <v>44586</v>
      </c>
      <c r="BX2" s="15">
        <f t="shared" si="2"/>
        <v>44587</v>
      </c>
      <c r="BY2" s="15">
        <f t="shared" si="2"/>
        <v>44588</v>
      </c>
      <c r="BZ2" s="15">
        <f t="shared" si="2"/>
        <v>44589</v>
      </c>
      <c r="CA2" s="15">
        <f t="shared" si="2"/>
        <v>44590</v>
      </c>
      <c r="CB2" s="15">
        <f t="shared" si="2"/>
        <v>44591</v>
      </c>
      <c r="CC2" s="15">
        <f t="shared" si="2"/>
        <v>44592</v>
      </c>
      <c r="CD2" s="15">
        <f t="shared" si="2"/>
        <v>44593</v>
      </c>
      <c r="CE2" s="15">
        <f t="shared" si="2"/>
        <v>44594</v>
      </c>
      <c r="CF2" s="15">
        <f t="shared" si="2"/>
        <v>44595</v>
      </c>
      <c r="CG2" s="15">
        <f t="shared" si="2"/>
        <v>44596</v>
      </c>
    </row>
    <row r="3" spans="1:85" ht="14.65" thickTop="1" x14ac:dyDescent="0.45">
      <c r="A3" s="5">
        <v>1</v>
      </c>
      <c r="B3" s="6" t="s">
        <v>13</v>
      </c>
      <c r="C3" s="7"/>
      <c r="D3" s="7"/>
      <c r="E3" s="8">
        <f>DATE(2023,12,13)-10</f>
        <v>43801</v>
      </c>
      <c r="F3" s="5" t="s">
        <v>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</row>
    <row r="4" spans="1:85" x14ac:dyDescent="0.45">
      <c r="A4" s="10"/>
      <c r="B4" s="9"/>
      <c r="C4" s="11"/>
      <c r="D4" s="11"/>
      <c r="E4" s="11"/>
      <c r="F4" s="10" t="s">
        <v>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</row>
    <row r="5" spans="1:85" x14ac:dyDescent="0.45">
      <c r="A5" s="10">
        <v>2</v>
      </c>
      <c r="B5" s="9" t="s">
        <v>7</v>
      </c>
      <c r="C5" s="11"/>
      <c r="D5" s="11"/>
      <c r="E5" s="12">
        <f>DATE(2023,12,13)-5</f>
        <v>43806</v>
      </c>
      <c r="F5" s="10" t="s">
        <v>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</row>
    <row r="6" spans="1:85" x14ac:dyDescent="0.45">
      <c r="A6" s="10"/>
      <c r="B6" s="9"/>
      <c r="C6" s="11"/>
      <c r="D6" s="11"/>
      <c r="E6" s="11"/>
      <c r="F6" s="10" t="s">
        <v>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</row>
    <row r="7" spans="1:85" x14ac:dyDescent="0.45">
      <c r="A7" s="10">
        <v>3</v>
      </c>
      <c r="B7" s="9" t="s">
        <v>8</v>
      </c>
      <c r="C7" s="11"/>
      <c r="D7" s="11"/>
      <c r="E7" s="12">
        <f>DATE(2023,12,13)</f>
        <v>43811</v>
      </c>
      <c r="F7" s="10" t="s">
        <v>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</row>
    <row r="8" spans="1:85" x14ac:dyDescent="0.45">
      <c r="A8" s="10"/>
      <c r="B8" s="9"/>
      <c r="C8" s="11"/>
      <c r="D8" s="11"/>
      <c r="E8" s="11"/>
      <c r="F8" s="10" t="s">
        <v>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</row>
    <row r="9" spans="1:85" x14ac:dyDescent="0.45">
      <c r="A9" s="10">
        <v>4</v>
      </c>
      <c r="B9" s="9" t="s">
        <v>9</v>
      </c>
      <c r="C9" s="11"/>
      <c r="D9" s="11"/>
      <c r="E9" s="12">
        <f>DATE(2023,12,13)+30</f>
        <v>43841</v>
      </c>
      <c r="F9" s="10" t="s">
        <v>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</row>
    <row r="10" spans="1:85" x14ac:dyDescent="0.45">
      <c r="A10" s="10"/>
      <c r="B10" s="9"/>
      <c r="C10" s="11"/>
      <c r="D10" s="11"/>
      <c r="E10" s="12"/>
      <c r="F10" s="10" t="s">
        <v>10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</row>
    <row r="11" spans="1:85" x14ac:dyDescent="0.45">
      <c r="A11" s="10"/>
      <c r="B11" s="9"/>
      <c r="C11" s="11"/>
      <c r="D11" s="11"/>
      <c r="E11" s="12"/>
      <c r="F11" s="10" t="s">
        <v>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</row>
    <row r="12" spans="1:85" x14ac:dyDescent="0.45">
      <c r="A12" s="10"/>
      <c r="B12" s="9"/>
      <c r="C12" s="11"/>
      <c r="D12" s="11"/>
      <c r="E12" s="12">
        <f>E9-21</f>
        <v>43820</v>
      </c>
      <c r="F12" s="10" t="s">
        <v>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</row>
    <row r="13" spans="1:85" x14ac:dyDescent="0.45">
      <c r="A13" s="10"/>
      <c r="B13" s="9"/>
      <c r="C13" s="11"/>
      <c r="D13" s="11"/>
      <c r="E13" s="11"/>
      <c r="F13" s="10" t="s">
        <v>10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</row>
    <row r="14" spans="1:85" x14ac:dyDescent="0.45">
      <c r="A14" s="10"/>
      <c r="B14" s="9"/>
      <c r="C14" s="11"/>
      <c r="D14" s="11"/>
      <c r="E14" s="11"/>
      <c r="F14" s="10" t="s">
        <v>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</row>
    <row r="15" spans="1:85" x14ac:dyDescent="0.45">
      <c r="A15" s="10"/>
      <c r="B15" s="9"/>
      <c r="C15" s="11"/>
      <c r="D15" s="11"/>
      <c r="E15" s="12">
        <f>E9-26</f>
        <v>43815</v>
      </c>
      <c r="F15" s="10" t="s">
        <v>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</row>
    <row r="16" spans="1:85" x14ac:dyDescent="0.45">
      <c r="A16" s="10"/>
      <c r="B16" s="9"/>
      <c r="C16" s="11"/>
      <c r="D16" s="11"/>
      <c r="E16" s="11"/>
      <c r="F16" s="10" t="s">
        <v>10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</row>
    <row r="17" spans="1:85" x14ac:dyDescent="0.45">
      <c r="A17" s="10"/>
      <c r="B17" s="9"/>
      <c r="C17" s="11"/>
      <c r="D17" s="11"/>
      <c r="E17" s="11"/>
      <c r="F17" s="10" t="s">
        <v>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</row>
    <row r="18" spans="1:85" x14ac:dyDescent="0.45">
      <c r="A18" s="10"/>
      <c r="B18" s="9"/>
      <c r="C18" s="11"/>
      <c r="D18" s="11"/>
      <c r="E18" s="12">
        <f>E9</f>
        <v>43841</v>
      </c>
      <c r="F18" s="10" t="s">
        <v>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</row>
    <row r="19" spans="1:85" x14ac:dyDescent="0.45">
      <c r="A19" s="10"/>
      <c r="B19" s="9"/>
      <c r="C19" s="11"/>
      <c r="D19" s="11"/>
      <c r="E19" s="11"/>
      <c r="F19" s="10" t="s">
        <v>10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</row>
    <row r="20" spans="1:85" x14ac:dyDescent="0.45">
      <c r="A20" s="10"/>
      <c r="B20" s="9"/>
      <c r="C20" s="11"/>
      <c r="D20" s="11"/>
      <c r="E20" s="11"/>
      <c r="F20" s="10" t="s">
        <v>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</row>
    <row r="21" spans="1:85" x14ac:dyDescent="0.45">
      <c r="A21" s="10"/>
      <c r="B21" s="9"/>
      <c r="C21" s="11"/>
      <c r="D21" s="11"/>
      <c r="E21" s="12">
        <f>E9-10</f>
        <v>43831</v>
      </c>
      <c r="F21" s="10" t="s">
        <v>5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</row>
    <row r="22" spans="1:85" x14ac:dyDescent="0.45">
      <c r="A22" s="10"/>
      <c r="B22" s="9"/>
      <c r="C22" s="11"/>
      <c r="D22" s="11"/>
      <c r="E22" s="11"/>
      <c r="F22" s="10" t="s">
        <v>10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</row>
    <row r="23" spans="1:85" x14ac:dyDescent="0.45">
      <c r="A23" s="10"/>
      <c r="B23" s="9"/>
      <c r="C23" s="11"/>
      <c r="D23" s="11"/>
      <c r="E23" s="11"/>
      <c r="F23" s="10" t="s">
        <v>6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</row>
    <row r="24" spans="1:85" x14ac:dyDescent="0.45">
      <c r="A24" s="10">
        <v>5</v>
      </c>
      <c r="B24" s="9" t="s">
        <v>11</v>
      </c>
      <c r="C24" s="11"/>
      <c r="D24" s="11"/>
      <c r="E24" s="12">
        <f>DATE(2023,12,13)+37</f>
        <v>43848</v>
      </c>
      <c r="F24" s="10" t="s">
        <v>5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</row>
    <row r="25" spans="1:85" x14ac:dyDescent="0.45">
      <c r="A25" s="10"/>
      <c r="B25" s="9"/>
      <c r="C25" s="11"/>
      <c r="D25" s="11"/>
      <c r="E25" s="11"/>
      <c r="F25" s="10" t="s">
        <v>10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</row>
    <row r="26" spans="1:85" x14ac:dyDescent="0.45">
      <c r="A26" s="10"/>
      <c r="B26" s="9"/>
      <c r="C26" s="11"/>
      <c r="D26" s="11"/>
      <c r="E26" s="11"/>
      <c r="F26" s="10" t="s">
        <v>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</row>
    <row r="27" spans="1:85" x14ac:dyDescent="0.45">
      <c r="A27" s="10">
        <v>6</v>
      </c>
      <c r="B27" s="9" t="s">
        <v>12</v>
      </c>
      <c r="C27" s="11"/>
      <c r="D27" s="11"/>
      <c r="E27" s="12">
        <f>DATE(2023,12,13)+40</f>
        <v>43851</v>
      </c>
      <c r="F27" s="10" t="s">
        <v>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</row>
    <row r="28" spans="1:85" x14ac:dyDescent="0.45">
      <c r="A28" s="10"/>
      <c r="B28" s="9"/>
      <c r="C28" s="11"/>
      <c r="D28" s="11"/>
      <c r="E28" s="12"/>
      <c r="F28" s="10" t="s">
        <v>10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</row>
    <row r="29" spans="1:85" x14ac:dyDescent="0.45">
      <c r="A29" s="10"/>
      <c r="B29" s="9"/>
      <c r="C29" s="11"/>
      <c r="D29" s="11"/>
      <c r="E29" s="11"/>
      <c r="F29" s="10" t="s">
        <v>6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</row>
  </sheetData>
  <pageMargins left="0.31496062992125984" right="0.31496062992125984" top="0.78740157480314965" bottom="0.78740157480314965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3AD4C4-D7E3-4F53-BBAE-7C62926AA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37d9d-9576-4bab-89c6-ad9e0707cb90"/>
    <ds:schemaRef ds:uri="8e922e2c-d434-4569-88ac-67afeec8c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19D65C-F16E-42A8-B180-5B69CD9E0A38}">
  <ds:schemaRefs>
    <ds:schemaRef ds:uri="http://schemas.microsoft.com/office/2006/metadata/properties"/>
    <ds:schemaRef ds:uri="http://schemas.microsoft.com/office/infopath/2007/PartnerControls"/>
    <ds:schemaRef ds:uri="98cc15a3-3e94-4076-998c-63c885c407b0"/>
    <ds:schemaRef ds:uri="ec62de01-3c60-4501-b46d-b2adce299403"/>
    <ds:schemaRef ds:uri="08a37d9d-9576-4bab-89c6-ad9e0707cb90"/>
    <ds:schemaRef ds:uri="8e922e2c-d434-4569-88ac-67afeec8ca9b"/>
  </ds:schemaRefs>
</ds:datastoreItem>
</file>

<file path=customXml/itemProps3.xml><?xml version="1.0" encoding="utf-8"?>
<ds:datastoreItem xmlns:ds="http://schemas.openxmlformats.org/officeDocument/2006/customXml" ds:itemID="{95D36861-8426-403F-928B-CC3C08CF1D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Übersicht</vt:lpstr>
      <vt:lpstr>Übersicht!Druckbereich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2026-05-18T07:04:33Z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  <property fmtid="{D5CDD505-2E9C-101B-9397-08002B2CF9AE}" pid="3" name="MediaServiceImageTags">
    <vt:lpwstr/>
  </property>
</Properties>
</file>